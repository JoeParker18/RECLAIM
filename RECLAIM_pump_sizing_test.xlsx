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cdm6041_psu_edu/Documents/Spring 2026 Semester/RECLAIM Plastics/"/>
    </mc:Choice>
  </mc:AlternateContent>
  <xr:revisionPtr revIDLastSave="0" documentId="8_{A65E17E0-DE46-4954-A9FE-B09A62B9550B}" xr6:coauthVersionLast="47" xr6:coauthVersionMax="47" xr10:uidLastSave="{00000000-0000-0000-0000-000000000000}"/>
  <bookViews>
    <workbookView xWindow="28680" yWindow="-120" windowWidth="21840" windowHeight="13020" tabRatio="500" xr2:uid="{00000000-000D-0000-FFFF-FFFF00000000}"/>
  </bookViews>
  <sheets>
    <sheet name="Pump Siz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8" i="1" l="1"/>
  <c r="C27" i="1"/>
  <c r="C26" i="1"/>
  <c r="B20" i="1"/>
  <c r="B33" i="1" s="1"/>
  <c r="B16" i="1"/>
  <c r="B17" i="1" s="1"/>
  <c r="B18" i="1" s="1"/>
  <c r="B19" i="1" s="1"/>
  <c r="B21" i="1" s="1"/>
  <c r="D28" i="1" l="1"/>
  <c r="D27" i="1"/>
  <c r="D26" i="1"/>
  <c r="B22" i="1"/>
</calcChain>
</file>

<file path=xl/sharedStrings.xml><?xml version="1.0" encoding="utf-8"?>
<sst xmlns="http://schemas.openxmlformats.org/spreadsheetml/2006/main" count="78" uniqueCount="71">
  <si>
    <t>RECLAIM — Continuous-Sweep Pump Sizing (Peak Non-Condensable Flow)</t>
  </si>
  <si>
    <t>Worst-case procurement envelope. Yellow cells are inputs — change them and recalc. Output is a CEILING, not a prediction; shakedown exhaust-meter run replaces every assumed input.</t>
  </si>
  <si>
    <t>INPUTS  (set the levers — conservative end shown)</t>
  </si>
  <si>
    <t>Feedstock mass, m_feed</t>
  </si>
  <si>
    <t>g</t>
  </si>
  <si>
    <t>Batch charge of LDPE</t>
  </si>
  <si>
    <t>Gas yield fraction, y_gas</t>
  </si>
  <si>
    <t>—</t>
  </si>
  <si>
    <t>Fraction of feed to non-condensable gas (0.50–0.65)</t>
  </si>
  <si>
    <t>Active evolution window, t_active</t>
  </si>
  <si>
    <t>min</t>
  </si>
  <si>
    <t>BIGGEST lever. Short end = conservative (15–40 min)</t>
  </si>
  <si>
    <t>Peak-to-average factor, f</t>
  </si>
  <si>
    <t>Single-peak DTG shape (3–4)</t>
  </si>
  <si>
    <t>Mean molar mass, M_bar</t>
  </si>
  <si>
    <t>g/mol</t>
  </si>
  <si>
    <t>Low = H2-rich = worst case (15–35)</t>
  </si>
  <si>
    <t>Pump inlet temp, T_in</t>
  </si>
  <si>
    <t>K</t>
  </si>
  <si>
    <t>POST-condenser, ~300–310 K — NOT reactor T</t>
  </si>
  <si>
    <t>Pump inlet pressure, P_in</t>
  </si>
  <si>
    <t>atm</t>
  </si>
  <si>
    <t>Lowest setpoint = worst case</t>
  </si>
  <si>
    <t>Carrier / inert sweep, Q_carrier</t>
  </si>
  <si>
    <t>L/min</t>
  </si>
  <si>
    <t>Run-phase sweep; tiny vs gas peak (0.04–0.2)</t>
  </si>
  <si>
    <t>Design margin</t>
  </si>
  <si>
    <t>×</t>
  </si>
  <si>
    <t>Absorbs M_bar error, Boudouard, transients (1.5–2)</t>
  </si>
  <si>
    <t>Gas constant, R′</t>
  </si>
  <si>
    <t>L·atm/mol·K</t>
  </si>
  <si>
    <t>Constant</t>
  </si>
  <si>
    <t>CALCULATION  (live formulas)</t>
  </si>
  <si>
    <t>1. Gas mass, m_gas</t>
  </si>
  <si>
    <t>m_feed × y_gas</t>
  </si>
  <si>
    <t>2. Avg gas rate, m_dot_avg</t>
  </si>
  <si>
    <t>g/min</t>
  </si>
  <si>
    <t>m_gas / t_active</t>
  </si>
  <si>
    <t>3. Peak gas rate, m_dot_peak</t>
  </si>
  <si>
    <t>f × m_dot_avg</t>
  </si>
  <si>
    <t>4. Peak molar rate, n_dot_peak</t>
  </si>
  <si>
    <t>mol/min</t>
  </si>
  <si>
    <t>m_dot_peak / M_bar</t>
  </si>
  <si>
    <t>5. Molar volume at inlet, V_m</t>
  </si>
  <si>
    <t>L/mol</t>
  </si>
  <si>
    <t>R′ × T_in / P_in</t>
  </si>
  <si>
    <t>6. Peak non-cond. flow, Q_noncond</t>
  </si>
  <si>
    <t>n_dot_peak × V_m — what the pump head sees</t>
  </si>
  <si>
    <t>7. Required (with carrier+margin)</t>
  </si>
  <si>
    <t>margin × (Q_noncond + Q_carrier)</t>
  </si>
  <si>
    <t>PUMP COMPARISON  (KNF LABOPORT family, verified specs)</t>
  </si>
  <si>
    <t>Model</t>
  </si>
  <si>
    <t>Max flow</t>
  </si>
  <si>
    <t>Derated ~70%</t>
  </si>
  <si>
    <t>Verdict vs peak Q_noncond (B21)</t>
  </si>
  <si>
    <t>UN 810.3 FTP (current BOM)</t>
  </si>
  <si>
    <t>UN 820.3 FTP</t>
  </si>
  <si>
    <t>UN 840.3 FTP</t>
  </si>
  <si>
    <t>MAX BATCH BACK-SOLVER  (how big a batch can a given pump keep up with?)</t>
  </si>
  <si>
    <t>Target throughput (derated pump)</t>
  </si>
  <si>
    <t>e.g. 810.3 derated ≈ 7 L/min. Solve for max m_feed at peak.</t>
  </si>
  <si>
    <t>Max feedstock at this throughput</t>
  </si>
  <si>
    <t>Keep shakedown batch at/under this. ≤50 g is safe across all assumptions.</t>
  </si>
  <si>
    <t>SCENARIO REFERENCE  (peak Q_noncond at 750 g, for context)</t>
  </si>
  <si>
    <t>Worst-case (y=.65,t=15,f=3,M=20)</t>
  </si>
  <si>
    <t>≈ 124 L/min</t>
  </si>
  <si>
    <t>Central (y=.55,t=30,f=2.5,M=30)</t>
  </si>
  <si>
    <t>≈ 29 L/min</t>
  </si>
  <si>
    <t>Optimistic (y=.50,t=45,f=2,M=40)</t>
  </si>
  <si>
    <t>≈ 11 L/min</t>
  </si>
  <si>
    <t>Even the optimistic peak (~11 L/min) exceeds the 810.3 headline. The 750 g full batch needs a pump well beyond this family — or a much smaller batch.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</si>
</sst>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i/>
      <sz val="9"/>
      <color rgb="FF555555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1"/>
      <color rgb="FF000000"/>
      <name val="Arial"/>
      <charset val="1"/>
    </font>
    <font>
      <b/>
      <i/>
      <sz val="9"/>
      <color rgb="FFC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5" fillId="4" borderId="1" xfId="0" applyFont="1" applyFill="1" applyBorder="1" applyAlignment="1">
      <alignment horizontal="right"/>
    </xf>
    <xf numFmtId="0" fontId="2" fillId="0" borderId="0" xfId="0" applyFont="1"/>
    <xf numFmtId="0" fontId="4" fillId="0" borderId="1" xfId="0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6" fillId="0" borderId="0" xfId="0" applyFont="1"/>
    <xf numFmtId="4" fontId="7" fillId="5" borderId="1" xfId="0" applyNumberFormat="1" applyFont="1" applyFill="1" applyBorder="1" applyAlignment="1">
      <alignment horizontal="right"/>
    </xf>
    <xf numFmtId="0" fontId="6" fillId="6" borderId="1" xfId="0" applyFont="1" applyFill="1" applyBorder="1"/>
    <xf numFmtId="0" fontId="4" fillId="0" borderId="1" xfId="0" applyFont="1" applyBorder="1"/>
    <xf numFmtId="1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3" fontId="7" fillId="5" borderId="1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left" vertical="center"/>
    </xf>
    <xf numFmtId="0" fontId="8" fillId="0" borderId="0" xfId="0" applyFont="1" applyAlignment="1">
      <alignment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2" zoomScaleNormal="100" workbookViewId="0">
      <selection activeCell="F9" sqref="F9"/>
    </sheetView>
  </sheetViews>
  <sheetFormatPr defaultColWidth="8.7109375" defaultRowHeight="14.45"/>
  <cols>
    <col min="1" max="1" width="38" customWidth="1"/>
    <col min="2" max="2" width="14" customWidth="1"/>
    <col min="3" max="3" width="10" customWidth="1"/>
    <col min="4" max="4" width="52" customWidth="1"/>
  </cols>
  <sheetData>
    <row r="1" spans="1:4" ht="25.5" customHeight="1">
      <c r="A1" s="15" t="s">
        <v>0</v>
      </c>
      <c r="B1" s="15"/>
      <c r="C1" s="15"/>
      <c r="D1" s="15"/>
    </row>
    <row r="2" spans="1:4" ht="27.75" customHeight="1">
      <c r="A2" s="16" t="s">
        <v>1</v>
      </c>
      <c r="B2" s="16"/>
      <c r="C2" s="16"/>
      <c r="D2" s="16"/>
    </row>
    <row r="3" spans="1:4" ht="19.5" customHeight="1">
      <c r="A3" s="13" t="s">
        <v>2</v>
      </c>
      <c r="B3" s="13"/>
      <c r="C3" s="13"/>
      <c r="D3" s="13"/>
    </row>
    <row r="4" spans="1:4">
      <c r="A4" s="1" t="s">
        <v>3</v>
      </c>
      <c r="B4" s="2">
        <v>750</v>
      </c>
      <c r="C4" s="1" t="s">
        <v>4</v>
      </c>
      <c r="D4" s="3" t="s">
        <v>5</v>
      </c>
    </row>
    <row r="5" spans="1:4">
      <c r="A5" s="1" t="s">
        <v>6</v>
      </c>
      <c r="B5" s="2">
        <v>0.65</v>
      </c>
      <c r="C5" s="1" t="s">
        <v>7</v>
      </c>
      <c r="D5" s="3" t="s">
        <v>8</v>
      </c>
    </row>
    <row r="6" spans="1:4">
      <c r="A6" s="1" t="s">
        <v>9</v>
      </c>
      <c r="B6" s="2">
        <v>15</v>
      </c>
      <c r="C6" s="1" t="s">
        <v>10</v>
      </c>
      <c r="D6" s="3" t="s">
        <v>11</v>
      </c>
    </row>
    <row r="7" spans="1:4">
      <c r="A7" s="1" t="s">
        <v>12</v>
      </c>
      <c r="B7" s="2">
        <v>3</v>
      </c>
      <c r="C7" s="1" t="s">
        <v>7</v>
      </c>
      <c r="D7" s="3" t="s">
        <v>13</v>
      </c>
    </row>
    <row r="8" spans="1:4">
      <c r="A8" s="1" t="s">
        <v>14</v>
      </c>
      <c r="B8" s="2">
        <v>20</v>
      </c>
      <c r="C8" s="1" t="s">
        <v>15</v>
      </c>
      <c r="D8" s="3" t="s">
        <v>16</v>
      </c>
    </row>
    <row r="9" spans="1:4">
      <c r="A9" s="1" t="s">
        <v>17</v>
      </c>
      <c r="B9" s="2">
        <v>290</v>
      </c>
      <c r="C9" s="1" t="s">
        <v>18</v>
      </c>
      <c r="D9" s="3" t="s">
        <v>19</v>
      </c>
    </row>
    <row r="10" spans="1:4">
      <c r="A10" s="1" t="s">
        <v>20</v>
      </c>
      <c r="B10" s="2">
        <v>0.75</v>
      </c>
      <c r="C10" s="1" t="s">
        <v>21</v>
      </c>
      <c r="D10" s="3" t="s">
        <v>22</v>
      </c>
    </row>
    <row r="11" spans="1:4">
      <c r="A11" s="1" t="s">
        <v>23</v>
      </c>
      <c r="B11" s="2">
        <v>0.2</v>
      </c>
      <c r="C11" s="1" t="s">
        <v>24</v>
      </c>
      <c r="D11" s="3" t="s">
        <v>25</v>
      </c>
    </row>
    <row r="12" spans="1:4">
      <c r="A12" s="1" t="s">
        <v>26</v>
      </c>
      <c r="B12" s="2">
        <v>1.5</v>
      </c>
      <c r="C12" s="1" t="s">
        <v>27</v>
      </c>
      <c r="D12" s="3" t="s">
        <v>28</v>
      </c>
    </row>
    <row r="13" spans="1:4">
      <c r="A13" s="1" t="s">
        <v>29</v>
      </c>
      <c r="B13" s="4">
        <v>8.2059999999999994E-2</v>
      </c>
      <c r="C13" s="1" t="s">
        <v>30</v>
      </c>
      <c r="D13" s="3" t="s">
        <v>31</v>
      </c>
    </row>
    <row r="15" spans="1:4" ht="19.5" customHeight="1">
      <c r="A15" s="13" t="s">
        <v>32</v>
      </c>
      <c r="B15" s="13"/>
      <c r="C15" s="13"/>
      <c r="D15" s="13"/>
    </row>
    <row r="16" spans="1:4">
      <c r="A16" s="1" t="s">
        <v>33</v>
      </c>
      <c r="B16" s="5">
        <f>B4*B5</f>
        <v>487.5</v>
      </c>
      <c r="C16" s="1" t="s">
        <v>4</v>
      </c>
      <c r="D16" s="3" t="s">
        <v>34</v>
      </c>
    </row>
    <row r="17" spans="1:4">
      <c r="A17" s="1" t="s">
        <v>35</v>
      </c>
      <c r="B17" s="5">
        <f>B16/B6</f>
        <v>32.5</v>
      </c>
      <c r="C17" s="1" t="s">
        <v>36</v>
      </c>
      <c r="D17" s="3" t="s">
        <v>37</v>
      </c>
    </row>
    <row r="18" spans="1:4">
      <c r="A18" s="1" t="s">
        <v>38</v>
      </c>
      <c r="B18" s="5">
        <f>B7*B17</f>
        <v>97.5</v>
      </c>
      <c r="C18" s="1" t="s">
        <v>36</v>
      </c>
      <c r="D18" s="3" t="s">
        <v>39</v>
      </c>
    </row>
    <row r="19" spans="1:4">
      <c r="A19" s="1" t="s">
        <v>40</v>
      </c>
      <c r="B19" s="5">
        <f>B18/B8</f>
        <v>4.875</v>
      </c>
      <c r="C19" s="1" t="s">
        <v>41</v>
      </c>
      <c r="D19" s="3" t="s">
        <v>42</v>
      </c>
    </row>
    <row r="20" spans="1:4">
      <c r="A20" s="1" t="s">
        <v>43</v>
      </c>
      <c r="B20" s="5">
        <f>B13*B9/B10</f>
        <v>31.729866666666666</v>
      </c>
      <c r="C20" s="1" t="s">
        <v>44</v>
      </c>
      <c r="D20" s="3" t="s">
        <v>45</v>
      </c>
    </row>
    <row r="21" spans="1:4">
      <c r="A21" s="6" t="s">
        <v>46</v>
      </c>
      <c r="B21" s="7">
        <f>B19*B20</f>
        <v>154.6831</v>
      </c>
      <c r="C21" s="1" t="s">
        <v>24</v>
      </c>
      <c r="D21" s="3" t="s">
        <v>47</v>
      </c>
    </row>
    <row r="22" spans="1:4">
      <c r="A22" s="6" t="s">
        <v>48</v>
      </c>
      <c r="B22" s="7">
        <f>B12*(B21+B11)</f>
        <v>232.32464999999996</v>
      </c>
      <c r="C22" s="1" t="s">
        <v>24</v>
      </c>
      <c r="D22" s="3" t="s">
        <v>49</v>
      </c>
    </row>
    <row r="24" spans="1:4" ht="19.5" customHeight="1">
      <c r="A24" s="13" t="s">
        <v>50</v>
      </c>
      <c r="B24" s="13"/>
      <c r="C24" s="13"/>
      <c r="D24" s="13"/>
    </row>
    <row r="25" spans="1:4">
      <c r="A25" s="8" t="s">
        <v>51</v>
      </c>
      <c r="B25" s="8" t="s">
        <v>52</v>
      </c>
      <c r="C25" s="8" t="s">
        <v>53</v>
      </c>
      <c r="D25" s="8" t="s">
        <v>54</v>
      </c>
    </row>
    <row r="26" spans="1:4">
      <c r="A26" s="9" t="s">
        <v>55</v>
      </c>
      <c r="B26" s="10">
        <v>10</v>
      </c>
      <c r="C26" s="11">
        <f>B26*0.7</f>
        <v>7</v>
      </c>
      <c r="D26" s="9" t="str">
        <f>IF($B$21&lt;=C26,"PASS — peak fits derated capacity","FAIL — short by "&amp;TEXT($B$21/C26,"0.0")&amp;"× of derated capacity")</f>
        <v>FAIL — short by 22.1× of derated capacity</v>
      </c>
    </row>
    <row r="27" spans="1:4">
      <c r="A27" s="9" t="s">
        <v>56</v>
      </c>
      <c r="B27" s="10">
        <v>20</v>
      </c>
      <c r="C27" s="11">
        <f>B27*0.7</f>
        <v>14</v>
      </c>
      <c r="D27" s="9" t="str">
        <f>IF($B$21&lt;=C27,"PASS — peak fits derated capacity","FAIL — short by "&amp;TEXT($B$21/C27,"0.0")&amp;"× of derated capacity")</f>
        <v>FAIL — short by 11.0× of derated capacity</v>
      </c>
    </row>
    <row r="28" spans="1:4">
      <c r="A28" s="9" t="s">
        <v>57</v>
      </c>
      <c r="B28" s="10">
        <v>34</v>
      </c>
      <c r="C28" s="11">
        <f>B28*0.7</f>
        <v>23.799999999999997</v>
      </c>
      <c r="D28" s="9" t="str">
        <f>IF($B$21&lt;=C28,"PASS — peak fits derated capacity","FAIL — short by "&amp;TEXT($B$21/C28,"0.0")&amp;"× of derated capacity")</f>
        <v>FAIL — short by 6.5× of derated capacity</v>
      </c>
    </row>
    <row r="31" spans="1:4" ht="19.5" customHeight="1">
      <c r="A31" s="13" t="s">
        <v>58</v>
      </c>
      <c r="B31" s="13"/>
      <c r="C31" s="13"/>
      <c r="D31" s="13"/>
    </row>
    <row r="32" spans="1:4">
      <c r="A32" s="1" t="s">
        <v>59</v>
      </c>
      <c r="B32" s="2">
        <v>7</v>
      </c>
      <c r="C32" s="1" t="s">
        <v>24</v>
      </c>
      <c r="D32" s="3" t="s">
        <v>60</v>
      </c>
    </row>
    <row r="33" spans="1:4">
      <c r="A33" s="6" t="s">
        <v>61</v>
      </c>
      <c r="B33" s="12">
        <f>B32*B8*B6/(B5*B7*B20)</f>
        <v>33.940359354060007</v>
      </c>
      <c r="C33" s="1" t="s">
        <v>4</v>
      </c>
      <c r="D33" s="3" t="s">
        <v>62</v>
      </c>
    </row>
    <row r="35" spans="1:4" ht="19.5" customHeight="1">
      <c r="A35" s="13" t="s">
        <v>63</v>
      </c>
      <c r="B35" s="13"/>
      <c r="C35" s="13"/>
      <c r="D35" s="13"/>
    </row>
    <row r="36" spans="1:4">
      <c r="A36" s="1" t="s">
        <v>64</v>
      </c>
      <c r="B36" s="1" t="s">
        <v>65</v>
      </c>
    </row>
    <row r="37" spans="1:4">
      <c r="A37" s="1" t="s">
        <v>66</v>
      </c>
      <c r="B37" s="1" t="s">
        <v>67</v>
      </c>
    </row>
    <row r="38" spans="1:4">
      <c r="A38" s="1" t="s">
        <v>68</v>
      </c>
      <c r="B38" s="1" t="s">
        <v>69</v>
      </c>
    </row>
    <row r="39" spans="1:4" ht="25.5" customHeight="1">
      <c r="A39" s="14" t="s">
        <v>70</v>
      </c>
      <c r="B39" s="14"/>
      <c r="C39" s="14"/>
      <c r="D39" s="14"/>
    </row>
  </sheetData>
  <mergeCells count="8">
    <mergeCell ref="A31:D31"/>
    <mergeCell ref="A35:D35"/>
    <mergeCell ref="A39:D39"/>
    <mergeCell ref="A1:D1"/>
    <mergeCell ref="A2:D2"/>
    <mergeCell ref="A3:D3"/>
    <mergeCell ref="A15:D15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2026-06-18T18:08:11Z</dcterms:created>
  <dcterms:modified xsi:type="dcterms:W3CDTF">2026-06-19T17:55:41Z</dcterms:modified>
  <cp:category/>
  <cp:contentStatus/>
</cp:coreProperties>
</file>